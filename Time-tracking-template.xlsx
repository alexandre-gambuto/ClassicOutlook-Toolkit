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/>
  <bookViews>
    <workbookView xWindow="14880" yWindow="-16365" windowWidth="29040" windowHeight="15720" tabRatio="509" activeTab="1" xr2:uid="{00000000-000D-0000-FFFF-FFFF00000000}"/>
  </bookViews>
  <sheets>
    <sheet name="Tableau de bord" sheetId="1" r:id="rId1"/>
    <sheet name="Temps par mois" sheetId="2" r:id="rId2"/>
    <sheet name="Extraction de temps" sheetId="6" r:id="rId3"/>
    <sheet name="Données" sheetId="4" state="hidden" r:id="rId4"/>
    <sheet name="Graphiques" sheetId="7" r:id="rId5"/>
    <sheet name="_Listes" sheetId="8" state="hidden" r:id="rId6"/>
  </sheets>
  <functionGroups builtInGroupCount="19"/>
  <definedNames>
    <definedName name="_xlnm._FilterDatabase" localSheetId="2" hidden="1">'Extraction de temps'!$A$2:$AA$4</definedName>
    <definedName name="_xlnm._FilterDatabase" localSheetId="1" hidden="1">'Temps par mois'!$A$1:$O$1</definedName>
    <definedName name="DateDebut">'Tableau de bord'!$C$13</definedName>
    <definedName name="DateFin">'Tableau de bord'!$E$13</definedName>
    <definedName name="LastArchive">'Tableau de bord'!$C$21</definedName>
    <definedName name="LastExtract">'Tableau de bord'!$C$20</definedName>
    <definedName name="ListeDossiers">_Listes!$A$2:$A$301</definedName>
    <definedName name="MoisSel">'Tableau de bord'!$C$10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<sst xmlns="http://schemas.openxmlformats.org/spreadsheetml/2006/main" count="76" uniqueCount="76">
  <si>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>Suivi de temps</t>
  </si>
  <si>
    <t>Tableau de bord — Import Outlook vers Excel</t>
  </si>
  <si>
    <t>Scanne Outlook pour le mois en cours et injecte dans 'Extraction de temps'</t>
  </si>
  <si>
    <t>Mois :</t>
  </si>
  <si>
    <t>Date début :</t>
  </si>
  <si>
    <t>Date fin :</t>
  </si>
  <si>
    <t>Dernière extraction :</t>
  </si>
  <si>
    <t>Dernier archivage :</t>
  </si>
  <si>
    <t>Nombre de dossiers :</t>
  </si>
  <si>
    <t>Opportunité</t>
  </si>
  <si>
    <t>Contrat</t>
  </si>
  <si>
    <t>DV</t>
  </si>
  <si>
    <t>Acronyme DV</t>
  </si>
  <si>
    <t>Partenaire</t>
  </si>
  <si>
    <t>nov. 2025</t>
  </si>
  <si>
    <t>déc. 2025</t>
  </si>
  <si>
    <t>janv. 2026</t>
  </si>
  <si>
    <t>févr. 2026</t>
  </si>
  <si>
    <t>mars 2026</t>
  </si>
  <si>
    <t>avr. 2026</t>
  </si>
  <si>
    <t>Injection :</t>
  </si>
  <si>
    <t>Dossier</t>
  </si>
  <si>
    <t>Temps</t>
  </si>
  <si>
    <t>Durée</t>
  </si>
  <si>
    <t xml:space="preserve">  ACTIONS</t>
  </si>
  <si>
    <t>Choisir le mois ci-dessous, puis cliquer sur le bouton</t>
  </si>
  <si>
    <t>Saisir Date début et Date fin (incluses) ; pas d'archivage dans ce mode</t>
  </si>
  <si>
    <t>Copie les totaux mensuels vers la feuille d'archive ; confirmation si déjà présent</t>
  </si>
  <si>
    <t xml:space="preserve">  INFORMATIONS</t>
  </si>
  <si>
    <t xml:space="preserve">  AIDE RAPIDE</t>
  </si>
  <si>
    <t>1.  Calcul du mois courant : scan Outlook du mois en cours, génération des heures par dossier.</t>
  </si>
  <si>
    <t>2.  Calcul d'un mois sélectionné : choisir le mois (format 'AAAA NomMois'), puis cliquer.</t>
  </si>
  <si>
    <t>3.  Calcul entre deux dates : saisir Date début + Date fin (incluses), puis cliquer. Pas d'archivage dans ce mode.</t>
  </si>
  <si>
    <t>4.  Archiver : copie le cumul mensuel vers 'Temps par mois' ; demande confirmation si déjà présent.</t>
  </si>
  <si>
    <t>5.  Dossier inconnu : si un RDV Outlook n'a pas de tag, modTagProjet (Outlook) propose de créer le dossier.</t>
  </si>
  <si>
    <t>6.  Événements 24h avec tag → comptés pour 8h ; sans tag → ignorés. Événements privés → toujours ignorés.</t>
  </si>
  <si>
    <t>(Creer nouveau dossier)</t>
  </si>
  <si>
    <t>Opportunite</t>
  </si>
  <si>
    <t>mai 2026</t>
  </si>
  <si>
    <t>juin 2026</t>
  </si>
  <si>
    <t>Total</t>
  </si>
  <si>
    <t>Suivi statistique du temps</t>
  </si>
  <si>
    <t>Indicateur</t>
  </si>
  <si>
    <t>Source graphique détail (mois en en-tête)</t>
  </si>
  <si>
    <t>Catégorie</t>
  </si>
  <si>
    <t>juil. 2026</t>
  </si>
  <si>
    <t>--- liste generee automatiquement, ne pas editer ---</t>
  </si>
  <si>
    <t>Date du mois (référence calcul)</t>
  </si>
  <si>
    <t>Heures / semaine (moy.)</t>
  </si>
  <si>
    <t>Répartition du temps - année 2026</t>
  </si>
  <si>
    <t>Heures (2026)</t>
  </si>
  <si>
    <t>août 2026</t>
  </si>
  <si>
    <t>2026-07</t>
  </si>
  <si>
    <t>01/07</t>
  </si>
  <si>
    <t>02/07</t>
  </si>
  <si>
    <t>03/07</t>
  </si>
  <si>
    <t>06/07</t>
  </si>
  <si>
    <t>07/07</t>
  </si>
  <si>
    <t>08/07</t>
  </si>
  <si>
    <t>09/07</t>
  </si>
  <si>
    <t>10/07</t>
  </si>
  <si>
    <t>13/07</t>
  </si>
  <si>
    <t>14/07</t>
  </si>
  <si>
    <t>15/07</t>
  </si>
  <si>
    <t>16/07</t>
  </si>
  <si>
    <t>17/07</t>
  </si>
  <si>
    <t>20/07</t>
  </si>
  <si>
    <t>21/07</t>
  </si>
  <si>
    <t>22/07</t>
  </si>
  <si>
    <t>23/07</t>
  </si>
  <si>
    <t>24/07</t>
  </si>
  <si>
    <t>27/07</t>
  </si>
  <si>
    <t>28/07</t>
  </si>
  <si>
    <t>29/07</t>
  </si>
  <si>
    <t>30/07</t>
  </si>
  <si>
    <t>31/07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</si>
</sst>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;\-0.00;"/>
    <numFmt numFmtId="165" formatCode="0;\-0;"/>
    <numFmt numFmtId="166" formatCode="0.0"/>
    <numFmt numFmtId="167" formatCode="mmm\ yyyy"/>
    <numFmt numFmtId="168" formatCode="dd/mm/yyyy\ hh:mm"/>
  </numFmts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</font>
    <font>
      <b/>
      <sz val="24"/>
      <color rgb="FFFFFFFF"/>
      <name val="Calibri"/>
      <family val="2"/>
    </font>
    <font>
      <i/>
      <sz val="11"/>
      <color rgb="FFD9E2EC"/>
      <name val="Calibri"/>
      <family val="2"/>
    </font>
    <font>
      <b/>
      <sz val="12"/>
      <color rgb="FFFFFFFF"/>
      <name val="Calibri"/>
      <family val="2"/>
    </font>
    <font>
      <i/>
      <sz val="10"/>
      <color rgb="FF404040"/>
      <name val="Calibri"/>
      <family val="2"/>
    </font>
    <font>
      <b/>
      <sz val="11"/>
      <color rgb="FF1F4E79"/>
      <name val="Calibri"/>
      <family val="2"/>
    </font>
    <font>
      <b/>
      <sz val="11"/>
      <color rgb="FF0070C0"/>
      <name val="Calibri"/>
      <family val="2"/>
    </font>
    <font>
      <b/>
      <sz val="10"/>
      <color rgb="FF1F4E79"/>
      <name val="Calibri"/>
      <family val="2"/>
    </font>
    <font>
      <sz val="10"/>
      <color rgb="FF000000"/>
      <name val="Calibri"/>
      <family val="2"/>
    </font>
    <font>
      <sz val="10"/>
      <color rgb="FF37474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6"/>
      <color rgb="FF1F4E79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8000"/>
      <name val="Calibri"/>
      <family val="2"/>
      <charset val="1"/>
    </font>
    <font>
      <i/>
      <sz val="9"/>
      <color rgb="FF808080"/>
      <name val="Calibri"/>
      <family val="2"/>
      <charset val="1"/>
    </font>
    <font>
      <b/>
      <sz val="12"/>
      <color rgb="FF1F4E79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FFE6C8"/>
        <bgColor indexed="64"/>
      </patternFill>
    </fill>
    <fill>
      <patternFill patternType="solid">
        <fgColor rgb="FFFFEB99"/>
        <bgColor indexed="64"/>
      </patternFill>
    </fill>
    <fill>
      <patternFill patternType="solid">
        <fgColor rgb="FFFFF8D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3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/>
    <xf numFmtId="0" fontId="5" fillId="0" borderId="4" xfId="0" applyFont="1" applyBorder="1"/>
    <xf numFmtId="0" fontId="3" fillId="0" borderId="4" xfId="0" applyFont="1" applyBorder="1"/>
    <xf numFmtId="0" fontId="0" fillId="3" borderId="0" xfId="0" applyFill="1"/>
    <xf numFmtId="0" fontId="1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right" vertical="center"/>
    </xf>
    <xf numFmtId="0" fontId="11" fillId="5" borderId="7" xfId="0" applyFont="1" applyFill="1" applyBorder="1" applyAlignment="1">
      <alignment horizontal="center" vertical="center"/>
    </xf>
    <xf numFmtId="14" fontId="11" fillId="5" borderId="7" xfId="0" applyNumberFormat="1" applyFont="1" applyFill="1" applyBorder="1" applyAlignment="1">
      <alignment horizontal="center" vertical="center"/>
    </xf>
    <xf numFmtId="0" fontId="0" fillId="6" borderId="0" xfId="0" applyFill="1"/>
    <xf numFmtId="0" fontId="12" fillId="6" borderId="0" xfId="0" applyFont="1" applyFill="1" applyAlignment="1">
      <alignment vertical="center"/>
    </xf>
    <xf numFmtId="0" fontId="12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6" fillId="0" borderId="0" xfId="0" applyFont="1" applyAlignment="1">
      <alignment horizontal="right"/>
    </xf>
    <xf numFmtId="0" fontId="15" fillId="4" borderId="8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6" fillId="0" borderId="0" xfId="0" applyFont="1"/>
    <xf numFmtId="22" fontId="17" fillId="0" borderId="0" xfId="0" applyNumberFormat="1" applyFont="1"/>
    <xf numFmtId="164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164" fontId="18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20" fillId="0" borderId="0" xfId="0" applyFont="1"/>
    <xf numFmtId="0" fontId="21" fillId="4" borderId="0" xfId="0" applyFont="1" applyFill="1"/>
    <xf numFmtId="0" fontId="21" fillId="4" borderId="0" xfId="0" applyFont="1" applyFill="1" applyAlignment="1">
      <alignment horizontal="center"/>
    </xf>
    <xf numFmtId="0" fontId="22" fillId="0" borderId="0" xfId="0" applyFont="1"/>
    <xf numFmtId="0" fontId="23" fillId="0" borderId="0" xfId="0" applyFont="1"/>
    <xf numFmtId="166" fontId="0" fillId="0" borderId="0" xfId="0" applyNumberFormat="1"/>
    <xf numFmtId="1" fontId="0" fillId="0" borderId="0" xfId="0" applyNumberFormat="1"/>
    <xf numFmtId="0" fontId="24" fillId="0" borderId="0" xfId="0" applyFont="1"/>
    <xf numFmtId="0" fontId="25" fillId="0" borderId="0" xfId="0" applyFont="1"/>
    <xf numFmtId="0" fontId="5" fillId="0" borderId="5" xfId="0" applyFont="1" applyBorder="1"/>
    <xf numFmtId="0" fontId="3" fillId="0" borderId="3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7" fontId="26" fillId="0" borderId="0" xfId="0" applyNumberFormat="1" applyFont="1" applyAlignment="1">
      <alignment horizontal="center"/>
    </xf>
    <xf numFmtId="167" fontId="2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6" fillId="0" borderId="9" xfId="0" applyFont="1" applyBorder="1"/>
    <xf numFmtId="0" fontId="0" fillId="0" borderId="9" xfId="0" applyBorder="1"/>
    <xf numFmtId="164" fontId="16" fillId="0" borderId="9" xfId="0" applyNumberFormat="1" applyFont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14" fillId="6" borderId="0" xfId="0" applyFont="1" applyFill="1" applyAlignment="1">
      <alignment vertical="center" wrapText="1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0" fillId="0" borderId="0" xfId="0" applyNumberFormat="1"/>
    <xf numFmtId="0" fontId="0" fillId="0" borderId="2" xfId="0" applyNumberFormat="1" applyFill="1" applyBorder="1"/>
    <xf numFmtId="164" fontId="0" fillId="0" borderId="2" xfId="0" applyNumberFormat="1" applyFill="1" applyBorder="1" applyAlignment="1">
      <alignment horizontal="center"/>
    </xf>
    <xf numFmtId="0" fontId="16" fillId="9" borderId="0" xfId="0" applyNumberFormat="1" applyFont="1" applyFill="1" applyProtection="1">
      <protection locked="0"/>
    </xf>
    <xf numFmtId="0" fontId="0" fillId="9" borderId="0" xfId="0" applyNumberFormat="1" applyFill="1"/>
    <xf numFmtId="0" fontId="16" fillId="10" borderId="0" xfId="0" applyNumberFormat="1" applyFont="1" applyFill="1"/>
    <xf numFmtId="168" fontId="0" fillId="0" borderId="0" xfId="0" applyNumberFormat="1"/>
    <xf numFmtId="0" fontId="0" fillId="8" borderId="0" xfId="0" applyNumberFormat="1" applyFill="1"/>
    <xf numFmtId="0" fontId="3" fillId="0" borderId="2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CCFFFF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976D2"/>
      <rgbColor rgb="FF33CCCC"/>
      <rgbColor rgb="FF99CC00"/>
      <rgbColor rgb="FFFFCC00"/>
      <rgbColor rgb="FFFF9900"/>
      <rgbColor rgb="FFEF6C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Indicateurs 2026 : Temps total, Nombre de dossiers &amp; Heures/semaine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Graphiques!$A$4</c:f>
              <c:strCache>
                <c:ptCount val="1"/>
                <c:pt idx="0">
                  <c:v>0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Graphiques!$D$3:$J$3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Graphiques!$D$4:$J$4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4-4941-8BE1-04D303611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972448"/>
        <c:axId val="343972928"/>
      </c:lineChart>
      <c:lineChart>
        <c:grouping val="standard"/>
        <c:varyColors val="0"/>
        <c:ser>
          <c:idx val="1"/>
          <c:order val="1"/>
          <c:tx>
            <c:strRef>
              <c:f>Graphiques!$A$5</c:f>
              <c:strCache>
                <c:ptCount val="1"/>
                <c:pt idx="0">
                  <c:v>Temps total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Graphiques!$D$3:$J$3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Graphiques!$D$5:$J$5</c:f>
              <c:numCache>
                <c:formatCode>0</c:formatCode>
                <c:ptCount val="7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182.5</c:v>
                </c:pt>
                <c:pt idx="4">
                  <c:v>110.5</c:v>
                </c:pt>
                <c:pt idx="5">
                  <c:v>167.5</c:v>
                </c:pt>
                <c:pt idx="6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4-4941-8BE1-04D303611620}"/>
            </c:ext>
          </c:extLst>
        </c:ser>
        <c:ser>
          <c:idx val="2"/>
          <c:order val="2"/>
          <c:tx>
            <c:v>Heures / semaine (moy.)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Graphiques!$D$3:$J$3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Graphiques!$D$14:$J$14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D-48DD-9497-8BAB4D4B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997648"/>
        <c:axId val="414698080"/>
      </c:lineChart>
      <c:catAx>
        <c:axId val="3439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3972928"/>
        <c:crosses val="autoZero"/>
        <c:auto val="1"/>
        <c:lblAlgn val="ctr"/>
        <c:lblOffset val="100"/>
        <c:noMultiLvlLbl val="0"/>
      </c:catAx>
      <c:valAx>
        <c:axId val="3439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total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3972448"/>
        <c:crosses val="autoZero"/>
        <c:crossBetween val="between"/>
      </c:valAx>
      <c:valAx>
        <c:axId val="4146980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dossiers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997648"/>
        <c:crosses val="max"/>
        <c:crossBetween val="between"/>
      </c:valAx>
      <c:catAx>
        <c:axId val="328997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469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du temps par catégorie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Graphiques!$A$56</c:f>
              <c:strCache>
                <c:ptCount val="1"/>
                <c:pt idx="0">
                  <c:v>Nombre de dossiers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Graphiques!$D$55:$J$55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Graphiques!$D$56:$J$56</c:f>
              <c:numCache>
                <c:formatCode>General</c:formatCode>
                <c:ptCount val="7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44</c:v>
                </c:pt>
                <c:pt idx="4">
                  <c:v>31</c:v>
                </c:pt>
                <c:pt idx="5">
                  <c:v>42</c:v>
                </c:pt>
                <c:pt idx="6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C-4598-917F-049A481FC31B}"/>
            </c:ext>
          </c:extLst>
        </c:ser>
        <c:ser>
          <c:idx val="1"/>
          <c:order val="1"/>
          <c:tx>
            <c:strRef>
              <c:f>Graphiques!$A$57</c:f>
              <c:strCache>
                <c:ptCount val="1"/>
                <c:pt idx="0">
                  <c:v>Opérations commerciales et support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Graphiques!$D$55:$J$55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Graphiques!$D$57:$J$57</c:f>
              <c:numCache>
                <c:formatCode>General</c:formatCode>
                <c:ptCount val="7"/>
                <c:pt idx="0">
                  <c:v>19.75</c:v>
                </c:pt>
                <c:pt idx="1">
                  <c:v>19.75</c:v>
                </c:pt>
                <c:pt idx="2">
                  <c:v>19.75</c:v>
                </c:pt>
                <c:pt idx="3">
                  <c:v>27</c:v>
                </c:pt>
                <c:pt idx="4">
                  <c:v>11</c:v>
                </c:pt>
                <c:pt idx="5">
                  <c:v>46</c:v>
                </c:pt>
                <c:pt idx="6">
                  <c:v>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C-4598-917F-049A481FC31B}"/>
            </c:ext>
          </c:extLst>
        </c:ser>
        <c:ser>
          <c:idx val="2"/>
          <c:order val="2"/>
          <c:tx>
            <c:strRef>
              <c:f>Graphiques!$A$58</c:f>
              <c:strCache>
                <c:ptCount val="1"/>
                <c:pt idx="0">
                  <c:v>Opportunité CRM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Graphiques!$D$55:$J$55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Graphiques!$D$58:$J$58</c:f>
              <c:numCache>
                <c:formatCode>General</c:formatCode>
                <c:ptCount val="7"/>
                <c:pt idx="0">
                  <c:v>21.25</c:v>
                </c:pt>
                <c:pt idx="1">
                  <c:v>21.25</c:v>
                </c:pt>
                <c:pt idx="2">
                  <c:v>21.25</c:v>
                </c:pt>
                <c:pt idx="3">
                  <c:v>55.5</c:v>
                </c:pt>
                <c:pt idx="4">
                  <c:v>29</c:v>
                </c:pt>
                <c:pt idx="5">
                  <c:v>29.5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C-4598-917F-049A481FC31B}"/>
            </c:ext>
          </c:extLst>
        </c:ser>
        <c:ser>
          <c:idx val="3"/>
          <c:order val="3"/>
          <c:tx>
            <c:strRef>
              <c:f>Graphiques!$A$59</c:f>
              <c:strCache>
                <c:ptCount val="1"/>
                <c:pt idx="0">
                  <c:v>Contrat sans DV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Graphiques!$D$55:$J$55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Graphiques!$D$59:$J$59</c:f>
              <c:numCache>
                <c:formatCode>General</c:formatCode>
                <c:ptCount val="7"/>
                <c:pt idx="0">
                  <c:v>6.25</c:v>
                </c:pt>
                <c:pt idx="1">
                  <c:v>6.25</c:v>
                </c:pt>
                <c:pt idx="2">
                  <c:v>6.25</c:v>
                </c:pt>
                <c:pt idx="3">
                  <c:v>2.5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6C-4598-917F-049A481FC31B}"/>
            </c:ext>
          </c:extLst>
        </c:ser>
        <c:ser>
          <c:idx val="4"/>
          <c:order val="4"/>
          <c:tx>
            <c:strRef>
              <c:f>Graphiques!$A$60</c:f>
              <c:strCache>
                <c:ptCount val="1"/>
                <c:pt idx="0">
                  <c:v>dont programme X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Graphiques!$D$55:$J$55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Graphiques!$D$60:$J$60</c:f>
              <c:numCache>
                <c:formatCode>General</c:formatCode>
                <c:ptCount val="7"/>
                <c:pt idx="0">
                  <c:v>26.25</c:v>
                </c:pt>
                <c:pt idx="1">
                  <c:v>26.25</c:v>
                </c:pt>
                <c:pt idx="2">
                  <c:v>26.25</c:v>
                </c:pt>
                <c:pt idx="3">
                  <c:v>26.5</c:v>
                </c:pt>
                <c:pt idx="4">
                  <c:v>25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6C-4598-917F-049A481FC31B}"/>
            </c:ext>
          </c:extLst>
        </c:ser>
        <c:ser>
          <c:idx val="5"/>
          <c:order val="5"/>
          <c:tx>
            <c:strRef>
              <c:f>Graphiques!$A$61</c:f>
              <c:strCache>
                <c:ptCount val="1"/>
                <c:pt idx="0">
                  <c:v>Autres tâches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Graphiques!$D$55:$J$55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Graphiques!$D$61:$J$61</c:f>
              <c:numCache>
                <c:formatCode>General</c:formatCode>
                <c:ptCount val="7"/>
                <c:pt idx="0">
                  <c:v>43.25</c:v>
                </c:pt>
                <c:pt idx="1">
                  <c:v>43.25</c:v>
                </c:pt>
                <c:pt idx="2">
                  <c:v>43.25</c:v>
                </c:pt>
                <c:pt idx="3">
                  <c:v>40.5</c:v>
                </c:pt>
                <c:pt idx="4">
                  <c:v>23</c:v>
                </c:pt>
                <c:pt idx="5">
                  <c:v>46</c:v>
                </c:pt>
                <c:pt idx="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6C-4598-917F-049A481FC31B}"/>
            </c:ext>
          </c:extLst>
        </c:ser>
        <c:ser>
          <c:idx val="6"/>
          <c:order val="6"/>
          <c:tx>
            <c:strRef>
              <c:f>Graphiques!$A$62</c:f>
              <c:strCache>
                <c:ptCount val="1"/>
                <c:pt idx="0">
                  <c:v>Temps non affecté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Graphiques!$D$55:$J$55</c:f>
              <c:strCache>
                <c:ptCount val="7"/>
                <c:pt idx="0">
                  <c:v>janv. 2026</c:v>
                </c:pt>
                <c:pt idx="1">
                  <c:v>févr. 2026</c:v>
                </c:pt>
                <c:pt idx="2">
                  <c:v>mars 2026</c:v>
                </c:pt>
                <c:pt idx="3">
                  <c:v>avr.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juil. 2026</c:v>
                </c:pt>
              </c:strCache>
            </c:strRef>
          </c:cat>
          <c:val>
            <c:numRef>
              <c:f>Graphiques!$D$62:$J$62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29.5</c:v>
                </c:pt>
                <c:pt idx="4">
                  <c:v>8</c:v>
                </c:pt>
                <c:pt idx="5">
                  <c:v>21.5</c:v>
                </c:pt>
                <c:pt idx="6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6C-4598-917F-049A481FC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930304"/>
        <c:axId val="403927904"/>
      </c:lineChart>
      <c:catAx>
        <c:axId val="40393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3927904"/>
        <c:crosses val="autoZero"/>
        <c:auto val="1"/>
        <c:lblAlgn val="ctr"/>
        <c:lblOffset val="100"/>
        <c:noMultiLvlLbl val="0"/>
      </c:catAx>
      <c:valAx>
        <c:axId val="4039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Heures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393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Répartition annuelle du temps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8002956309161714"/>
          <c:y val="0.22165341969616437"/>
          <c:w val="0.43994075740532435"/>
          <c:h val="0.7045762368359818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57-48A5-BBC6-CA04F93CB2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857-48A5-BBC6-CA04F93CB2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57-48A5-BBC6-CA04F93CB2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857-48A5-BBC6-CA04F93CB2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57-48A5-BBC6-CA04F93CB2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857-48A5-BBC6-CA04F93CB2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57-48A5-BBC6-CA04F93CB2E5}"/>
              </c:ext>
            </c:extLst>
          </c:dPt>
          <c:dLbls>
            <c:dLbl>
              <c:idx val="0"/>
              <c:layout>
                <c:manualLayout>
                  <c:x val="0.10108303249097472"/>
                  <c:y val="-2.8780410592698256E-1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57-48A5-BBC6-CA04F93CB2E5}"/>
                </c:ext>
              </c:extLst>
            </c:dLbl>
            <c:dLbl>
              <c:idx val="1"/>
              <c:layout>
                <c:manualLayout>
                  <c:x val="4.8134777376654718E-2"/>
                  <c:y val="0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57-48A5-BBC6-CA04F93CB2E5}"/>
                </c:ext>
              </c:extLst>
            </c:dLbl>
            <c:dLbl>
              <c:idx val="2"/>
              <c:layout>
                <c:manualLayout>
                  <c:x val="6.9795427196149215E-2"/>
                  <c:y val="5.023547880690738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57-48A5-BBC6-CA04F93CB2E5}"/>
                </c:ext>
              </c:extLst>
            </c:dLbl>
            <c:dLbl>
              <c:idx val="3"/>
              <c:layout>
                <c:manualLayout>
                  <c:x val="-0.10108303249097475"/>
                  <c:y val="-3.1397174254317113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57-48A5-BBC6-CA04F93CB2E5}"/>
                </c:ext>
              </c:extLst>
            </c:dLbl>
            <c:dLbl>
              <c:idx val="4"/>
              <c:layout>
                <c:manualLayout>
                  <c:x val="-6.7388688327316495E-2"/>
                  <c:y val="-2.19780219780219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57-48A5-BBC6-CA04F93CB2E5}"/>
                </c:ext>
              </c:extLst>
            </c:dLbl>
            <c:dLbl>
              <c:idx val="5"/>
              <c:layout>
                <c:manualLayout>
                  <c:x val="-0.10348977135980748"/>
                  <c:y val="9.4191522762951049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57-48A5-BBC6-CA04F93CB2E5}"/>
                </c:ext>
              </c:extLst>
            </c:dLbl>
            <c:dLbl>
              <c:idx val="6"/>
              <c:layout>
                <c:manualLayout>
                  <c:x val="0.12033694344163658"/>
                  <c:y val="-6.2794348508634227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57-48A5-BBC6-CA04F93CB2E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Graphiques!$A$17:$A$23</c:f>
              <c:strCache>
                <c:ptCount val="7"/>
                <c:pt idx="0">
                  <c:v>Nombre de dossiers</c:v>
                </c:pt>
                <c:pt idx="1">
                  <c:v>Opérations commerciales et support</c:v>
                </c:pt>
                <c:pt idx="2">
                  <c:v>Opportunité CRM</c:v>
                </c:pt>
                <c:pt idx="3">
                  <c:v>Contrat sans DV</c:v>
                </c:pt>
                <c:pt idx="4">
                  <c:v>dont programme X</c:v>
                </c:pt>
                <c:pt idx="5">
                  <c:v>Autres tâches</c:v>
                </c:pt>
                <c:pt idx="6">
                  <c:v>Temps non affecté</c:v>
                </c:pt>
              </c:strCache>
            </c:strRef>
          </c:cat>
          <c:val>
            <c:numRef>
              <c:f>Graphiques!$B$17:$B$23</c:f>
              <c:numCache>
                <c:formatCode>0.0</c:formatCode>
                <c:ptCount val="7"/>
                <c:pt idx="0">
                  <c:v>317</c:v>
                </c:pt>
                <c:pt idx="1">
                  <c:v>215.75</c:v>
                </c:pt>
                <c:pt idx="2">
                  <c:v>198.75</c:v>
                </c:pt>
                <c:pt idx="3">
                  <c:v>26.25</c:v>
                </c:pt>
                <c:pt idx="4">
                  <c:v>150.25</c:v>
                </c:pt>
                <c:pt idx="5">
                  <c:v>263.25</c:v>
                </c:pt>
                <c:pt idx="6">
                  <c:v>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7-48A5-BBC6-CA04F93CB2E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</xdr:colOff>
      <xdr:row>6</xdr:row>
      <xdr:rowOff>30480</xdr:rowOff>
    </xdr:from>
    <xdr:to>
      <xdr:col>2</xdr:col>
      <xdr:colOff>1620520</xdr:colOff>
      <xdr:row>6</xdr:row>
      <xdr:rowOff>360680</xdr:rowOff>
    </xdr:to>
    <xdr:sp macro="" textlink="">
      <xdr:nvSpPr>
        <xdr:cNvPr id="3" name="btn_moisCourant" descr="Macro: CalculerMoisCourant">
          <a:extLst>
            <a:ext uri="{FF2B5EF4-FFF2-40B4-BE49-F238E27FC236}">
              <a16:creationId xmlns:a16="http://schemas.microsoft.com/office/drawing/2014/main" id="{9AD961D0-2210-4E1C-8B66-C0B0AC7742C1}"/>
            </a:ext>
          </a:extLst>
        </xdr:cNvPr>
        <xdr:cNvSpPr/>
      </xdr:nvSpPr>
      <xdr:spPr>
        <a:xfrm>
          <a:off x="250190" y="1545590"/>
          <a:ext cx="4521200" cy="335280"/>
        </a:xfrm>
        <a:prstGeom prst="roundRect">
          <a:avLst/>
        </a:prstGeom>
        <a:solidFill>
          <a:srgbClr val="2E7D32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6200" tIns="25400" rIns="76200" bIns="25400" rtlCol="0" anchor="ctr"/>
        <a:lstStyle/>
        <a:p>
          <a:pPr algn="ctr"/>
          <a:r>
            <a:rPr kumimoji="0" lang="fr-FR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▶  Calcul du mois courant</a:t>
          </a:r>
        </a:p>
      </xdr:txBody>
    </xdr:sp>
    <xdr:clientData/>
  </xdr:twoCellAnchor>
  <xdr:twoCellAnchor>
    <xdr:from>
      <xdr:col>1</xdr:col>
      <xdr:colOff>24130</xdr:colOff>
      <xdr:row>8</xdr:row>
      <xdr:rowOff>30480</xdr:rowOff>
    </xdr:from>
    <xdr:to>
      <xdr:col>2</xdr:col>
      <xdr:colOff>1620520</xdr:colOff>
      <xdr:row>8</xdr:row>
      <xdr:rowOff>360680</xdr:rowOff>
    </xdr:to>
    <xdr:sp macro="" textlink="">
      <xdr:nvSpPr>
        <xdr:cNvPr id="4" name="btn_moisSel" descr="Macro: CalculerMoisSelectionne">
          <a:extLst>
            <a:ext uri="{FF2B5EF4-FFF2-40B4-BE49-F238E27FC236}">
              <a16:creationId xmlns:a16="http://schemas.microsoft.com/office/drawing/2014/main" id="{0BC98FF1-802D-43F3-B4CA-2E9E725E9013}"/>
            </a:ext>
          </a:extLst>
        </xdr:cNvPr>
        <xdr:cNvSpPr/>
      </xdr:nvSpPr>
      <xdr:spPr>
        <a:xfrm>
          <a:off x="250190" y="2002790"/>
          <a:ext cx="4521200" cy="335280"/>
        </a:xfrm>
        <a:prstGeom prst="roundRect">
          <a:avLst/>
        </a:prstGeom>
        <a:solidFill>
          <a:srgbClr val="1976D2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6200" tIns="25400" rIns="76200" bIns="25400" rtlCol="0" anchor="ctr"/>
        <a:lstStyle/>
        <a:p>
          <a:pPr algn="ctr"/>
          <a:r>
            <a:rPr kumimoji="0" lang="fr-FR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▶  Calcul d'un mois sélectionné</a:t>
          </a:r>
        </a:p>
      </xdr:txBody>
    </xdr:sp>
    <xdr:clientData/>
  </xdr:twoCellAnchor>
  <xdr:twoCellAnchor>
    <xdr:from>
      <xdr:col>1</xdr:col>
      <xdr:colOff>24130</xdr:colOff>
      <xdr:row>11</xdr:row>
      <xdr:rowOff>30480</xdr:rowOff>
    </xdr:from>
    <xdr:to>
      <xdr:col>2</xdr:col>
      <xdr:colOff>1620520</xdr:colOff>
      <xdr:row>11</xdr:row>
      <xdr:rowOff>360680</xdr:rowOff>
    </xdr:to>
    <xdr:sp macro="" textlink="">
      <xdr:nvSpPr>
        <xdr:cNvPr id="5" name="btn_entreDates" descr="Macro: CalculerEntreDeuxDates">
          <a:extLst>
            <a:ext uri="{FF2B5EF4-FFF2-40B4-BE49-F238E27FC236}">
              <a16:creationId xmlns:a16="http://schemas.microsoft.com/office/drawing/2014/main" id="{B750995B-3301-4496-967B-ECD674974504}"/>
            </a:ext>
          </a:extLst>
        </xdr:cNvPr>
        <xdr:cNvSpPr/>
      </xdr:nvSpPr>
      <xdr:spPr>
        <a:xfrm>
          <a:off x="250190" y="2917190"/>
          <a:ext cx="4521200" cy="335280"/>
        </a:xfrm>
        <a:prstGeom prst="roundRect">
          <a:avLst/>
        </a:prstGeom>
        <a:solidFill>
          <a:srgbClr val="EF6C0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6200" tIns="25400" rIns="76200" bIns="25400" rtlCol="0" anchor="ctr"/>
        <a:lstStyle/>
        <a:p>
          <a:pPr algn="ctr"/>
          <a:r>
            <a:rPr kumimoji="0" lang="fr-FR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▶  Calcul entre deux dates</a:t>
          </a:r>
        </a:p>
      </xdr:txBody>
    </xdr:sp>
    <xdr:clientData/>
  </xdr:twoCellAnchor>
  <xdr:twoCellAnchor>
    <xdr:from>
      <xdr:col>1</xdr:col>
      <xdr:colOff>24130</xdr:colOff>
      <xdr:row>14</xdr:row>
      <xdr:rowOff>30480</xdr:rowOff>
    </xdr:from>
    <xdr:to>
      <xdr:col>2</xdr:col>
      <xdr:colOff>1620520</xdr:colOff>
      <xdr:row>14</xdr:row>
      <xdr:rowOff>360680</xdr:rowOff>
    </xdr:to>
    <xdr:sp macro="" textlink="">
      <xdr:nvSpPr>
        <xdr:cNvPr id="6" name="btn_archiver" descr="Macro: ArchiverMoisCourant">
          <a:extLst>
            <a:ext uri="{FF2B5EF4-FFF2-40B4-BE49-F238E27FC236}">
              <a16:creationId xmlns:a16="http://schemas.microsoft.com/office/drawing/2014/main" id="{F575C9E7-2DFA-400C-8000-C37C67D7E0E2}"/>
            </a:ext>
          </a:extLst>
        </xdr:cNvPr>
        <xdr:cNvSpPr/>
      </xdr:nvSpPr>
      <xdr:spPr>
        <a:xfrm>
          <a:off x="250190" y="3831590"/>
          <a:ext cx="4521200" cy="335280"/>
        </a:xfrm>
        <a:prstGeom prst="roundRect">
          <a:avLst/>
        </a:prstGeom>
        <a:solidFill>
          <a:srgbClr val="455A64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6200" tIns="25400" rIns="76200" bIns="25400" rtlCol="0" anchor="ctr"/>
        <a:lstStyle/>
        <a:p>
          <a:pPr algn="ctr"/>
          <a:r>
            <a:rPr kumimoji="0" lang="fr-FR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▶  Archiver vers Temps par mois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0</xdr:row>
      <xdr:rowOff>38100</xdr:rowOff>
    </xdr:from>
    <xdr:to>
      <xdr:col>11</xdr:col>
      <xdr:colOff>130175</xdr:colOff>
      <xdr:row>0</xdr:row>
      <xdr:rowOff>342900</xdr:rowOff>
    </xdr:to>
    <xdr:sp macro="" textlink="">
      <xdr:nvSpPr>
        <xdr:cNvPr id="2" name="btnCopierVersTpm">
          <a:extLst>
            <a:ext uri="{FF2B5EF4-FFF2-40B4-BE49-F238E27FC236}">
              <a16:creationId xmlns:a16="http://schemas.microsoft.com/office/drawing/2014/main" id="{06B7C42D-3C41-705E-CFE2-B5B5AF16BA5A}"/>
            </a:ext>
          </a:extLst>
        </xdr:cNvPr>
        <xdr:cNvSpPr/>
      </xdr:nvSpPr>
      <xdr:spPr>
        <a:xfrm>
          <a:off x="11747500" y="38100"/>
          <a:ext cx="2794000" cy="304800"/>
        </a:xfrm>
        <a:prstGeom prst="roundRect">
          <a:avLst/>
        </a:prstGeom>
        <a:solidFill>
          <a:srgbClr val="0070C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&gt; Copier vers Temps par mois</a:t>
          </a:r>
        </a:p>
      </xdr:txBody>
    </xdr:sp>
    <xdr:clientData/>
  </xdr:twoCellAnchor>
  <xdr:twoCellAnchor>
    <xdr:from>
      <xdr:col>5</xdr:col>
      <xdr:colOff>3175</xdr:colOff>
      <xdr:row>47</xdr:row>
      <xdr:rowOff>171450</xdr:rowOff>
    </xdr:from>
    <xdr:to>
      <xdr:col>9</xdr:col>
      <xdr:colOff>454025</xdr:colOff>
      <xdr:row>48</xdr:row>
      <xdr:rowOff>95250</xdr:rowOff>
    </xdr:to>
    <xdr:sp macro="" textlink="">
      <xdr:nvSpPr>
        <xdr:cNvPr id="5" name="btnAffecterUnmatched">
          <a:extLst>
            <a:ext uri="{FF2B5EF4-FFF2-40B4-BE49-F238E27FC236}">
              <a16:creationId xmlns:a16="http://schemas.microsoft.com/office/drawing/2014/main" id="{04F6268F-1C0C-FAE7-9C2D-C2CD5A33701F}"/>
            </a:ext>
          </a:extLst>
        </xdr:cNvPr>
        <xdr:cNvSpPr/>
      </xdr:nvSpPr>
      <xdr:spPr>
        <a:xfrm>
          <a:off x="11004550" y="9601200"/>
          <a:ext cx="2794000" cy="304800"/>
        </a:xfrm>
        <a:prstGeom prst="roundRect">
          <a:avLst/>
        </a:prstGeom>
        <a:solidFill>
          <a:srgbClr val="0070C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&gt; Affecter les non matches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38100</xdr:rowOff>
    </xdr:from>
    <xdr:to>
      <xdr:col>9</xdr:col>
      <xdr:colOff>25400</xdr:colOff>
      <xdr:row>31</xdr:row>
      <xdr:rowOff>95250</xdr:rowOff>
    </xdr:to>
    <xdr:graphicFrame macro="">
      <xdr:nvGraphicFramePr>
        <xdr:cNvPr id="2" name="PrincipauxIndic">
          <a:extLst>
            <a:ext uri="{FF2B5EF4-FFF2-40B4-BE49-F238E27FC236}">
              <a16:creationId xmlns:a16="http://schemas.microsoft.com/office/drawing/2014/main" id="{A90A11EB-9625-5526-8EEA-AD437FE05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104775</xdr:rowOff>
    </xdr:from>
    <xdr:to>
      <xdr:col>9</xdr:col>
      <xdr:colOff>25400</xdr:colOff>
      <xdr:row>52</xdr:row>
      <xdr:rowOff>168275</xdr:rowOff>
    </xdr:to>
    <xdr:graphicFrame macro="">
      <xdr:nvGraphicFramePr>
        <xdr:cNvPr id="5" name="DetailIndic">
          <a:extLst>
            <a:ext uri="{FF2B5EF4-FFF2-40B4-BE49-F238E27FC236}">
              <a16:creationId xmlns:a16="http://schemas.microsoft.com/office/drawing/2014/main" id="{02A71C95-424D-ABAB-46EE-8C503BB1B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752475</xdr:colOff>
      <xdr:row>2</xdr:row>
      <xdr:rowOff>0</xdr:rowOff>
    </xdr:from>
    <xdr:to>
      <xdr:col>16</xdr:col>
      <xdr:colOff>695325</xdr:colOff>
      <xdr:row>24</xdr:row>
      <xdr:rowOff>47625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5CD1155-63DD-60D3-CA59-47014BE4D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B2:F31"/>
  <sheetViews>
    <sheetView showGridLines="0" zoomScaleNormal="100" workbookViewId="0">
      <selection activeCell="C11" sqref="C11"/>
    </sheetView>
  </sheetViews>
  <sheetFormatPr baseColWidth="10" defaultColWidth="8.6328125" defaultRowHeight="14.5" x14ac:dyDescent="0.35"/>
  <cols>
    <col min="1" max="1" width="3.26953125" customWidth="1"/>
    <col min="2" max="2" width="41.81640625" customWidth="1"/>
    <col min="3" max="5" width="23.6328125" customWidth="1"/>
    <col min="6" max="6" width="10.90625" customWidth="1"/>
  </cols>
  <sheetData>
    <row r="2" spans="2:6" ht="38" customHeight="1" x14ac:dyDescent="0.35">
      <c r="B2" s="58" t="s">
        <v>0</v>
      </c>
      <c r="C2" s="58"/>
      <c r="D2" s="58"/>
      <c r="E2" s="58"/>
      <c r="F2" s="58"/>
    </row>
    <row r="3" spans="2:6" ht="22" customHeight="1" x14ac:dyDescent="0.35">
      <c r="B3" s="59" t="s">
        <v>1</v>
      </c>
      <c r="C3" s="59"/>
      <c r="D3" s="59"/>
      <c r="E3" s="59"/>
      <c r="F3" s="59"/>
    </row>
    <row r="4" spans="2:6" ht="14" customHeight="1" x14ac:dyDescent="0.35">
      <c r="B4" s="8"/>
      <c r="C4" s="8"/>
      <c r="D4" s="8"/>
      <c r="E4" s="8"/>
      <c r="F4" s="8"/>
    </row>
    <row r="5" spans="2:6" ht="26" customHeight="1" x14ac:dyDescent="0.35">
      <c r="B5" s="60" t="s">
        <v>24</v>
      </c>
      <c r="C5" s="60"/>
      <c r="D5" s="60"/>
      <c r="E5" s="60"/>
      <c r="F5" s="60"/>
    </row>
    <row r="6" spans="2:6" ht="8" customHeight="1" x14ac:dyDescent="0.35">
      <c r="B6" s="8"/>
      <c r="C6" s="8"/>
      <c r="D6" s="8"/>
      <c r="E6" s="8"/>
      <c r="F6" s="8"/>
    </row>
    <row r="7" spans="2:6" ht="30" customHeight="1" x14ac:dyDescent="0.35">
      <c r="B7" s="61"/>
      <c r="C7" s="61"/>
      <c r="D7" s="62" t="s">
        <v>2</v>
      </c>
      <c r="E7" s="62"/>
      <c r="F7" s="62"/>
    </row>
    <row r="8" spans="2:6" ht="6" customHeight="1" x14ac:dyDescent="0.35">
      <c r="B8" s="8"/>
      <c r="C8" s="8"/>
      <c r="D8" s="8"/>
      <c r="E8" s="8"/>
      <c r="F8" s="8"/>
    </row>
    <row r="9" spans="2:6" ht="30" customHeight="1" x14ac:dyDescent="0.35">
      <c r="B9" s="61"/>
      <c r="C9" s="61"/>
      <c r="D9" s="63" t="s">
        <v>25</v>
      </c>
      <c r="E9" s="63"/>
      <c r="F9" s="63"/>
    </row>
    <row r="10" spans="2:6" ht="24" customHeight="1" x14ac:dyDescent="0.35">
      <c r="B10" s="11" t="s">
        <v>3</v>
      </c>
      <c r="C10" s="12" t="s">
        <v>52</v>
      </c>
      <c r="D10" s="8"/>
      <c r="E10" s="8"/>
      <c r="F10" s="8"/>
    </row>
    <row r="11" spans="2:6" ht="18" customHeight="1" x14ac:dyDescent="0.35">
      <c r="B11" s="8"/>
      <c r="C11" s="8"/>
      <c r="D11" s="8"/>
      <c r="E11" s="8"/>
      <c r="F11" s="8"/>
    </row>
    <row r="12" spans="2:6" ht="30" customHeight="1" x14ac:dyDescent="0.35">
      <c r="B12" s="61"/>
      <c r="C12" s="61"/>
      <c r="D12" s="62" t="s">
        <v>26</v>
      </c>
      <c r="E12" s="62"/>
      <c r="F12" s="62"/>
    </row>
    <row r="13" spans="2:6" ht="24" customHeight="1" x14ac:dyDescent="0.35">
      <c r="B13" s="11" t="s">
        <v>4</v>
      </c>
      <c r="C13" s="13">
        <v>46113</v>
      </c>
      <c r="D13" s="11" t="s">
        <v>5</v>
      </c>
      <c r="E13" s="13">
        <v>46142</v>
      </c>
      <c r="F13" s="8"/>
    </row>
    <row r="14" spans="2:6" ht="18" customHeight="1" x14ac:dyDescent="0.35">
      <c r="B14" s="9"/>
      <c r="C14" s="8"/>
      <c r="D14" s="8"/>
      <c r="E14" s="8"/>
      <c r="F14" s="8"/>
    </row>
    <row r="15" spans="2:6" ht="30" customHeight="1" x14ac:dyDescent="0.35">
      <c r="B15" s="61"/>
      <c r="C15" s="61"/>
      <c r="D15" s="64" t="s">
        <v>27</v>
      </c>
      <c r="E15" s="64"/>
      <c r="F15" s="64"/>
    </row>
    <row r="18" spans="2:6" ht="26" customHeight="1" x14ac:dyDescent="0.35">
      <c r="B18" s="66" t="s">
        <v>28</v>
      </c>
      <c r="C18" s="66"/>
      <c r="D18" s="66"/>
      <c r="E18" s="66"/>
      <c r="F18" s="66"/>
    </row>
    <row r="19" spans="2:6" ht="6" customHeight="1" x14ac:dyDescent="0.35">
      <c r="B19" s="8"/>
      <c r="C19" s="8"/>
      <c r="D19" s="8"/>
      <c r="E19" s="8"/>
      <c r="F19" s="8"/>
    </row>
    <row r="20" spans="2:6" ht="20" customHeight="1" x14ac:dyDescent="0.35">
      <c r="B20" s="22" t="s">
        <v>6</v>
      </c>
      <c r="C20" s="17" t="inlineStr">
        <is>
          <t>n/a</t>
        </is>
      </c>
      <c r="D20" s="14"/>
      <c r="E20" s="14"/>
      <c r="F20" s="14"/>
    </row>
    <row r="21" spans="2:6" ht="20" customHeight="1" x14ac:dyDescent="0.35">
      <c r="B21" s="15" t="s">
        <v>7</v>
      </c>
      <c r="C21" s="17" t="inlineStr">
        <is>
          <t>n/a</t>
        </is>
      </c>
      <c r="D21" s="14"/>
      <c r="E21" s="14"/>
      <c r="F21" s="14"/>
    </row>
    <row r="22" spans="2:6" ht="20" customHeight="1" x14ac:dyDescent="0.35">
      <c r="B22" s="16" t="s">
        <v>8</v>
      </c>
      <c r="C22" s="17">
        <f>COUNTA('Temps par mois'!D2:D5118)</f>
      </c>
      <c r="D22" s="14"/>
      <c r="E22" s="14"/>
      <c r="F22" s="14"/>
    </row>
    <row r="23" spans="2:6" ht="14" customHeight="1" x14ac:dyDescent="0.35">
      <c r="B23" s="10"/>
      <c r="C23" s="8"/>
      <c r="D23" s="8"/>
      <c r="E23" s="8"/>
      <c r="F23" s="8"/>
    </row>
    <row r="24" spans="2:6" ht="26" customHeight="1" x14ac:dyDescent="0.35">
      <c r="B24" s="67" t="s">
        <v>29</v>
      </c>
      <c r="C24" s="67"/>
      <c r="D24" s="67"/>
      <c r="E24" s="67"/>
      <c r="F24" s="67"/>
    </row>
    <row r="25" spans="2:6" ht="6" customHeight="1" x14ac:dyDescent="0.35">
      <c r="B25" s="10"/>
      <c r="C25" s="8"/>
      <c r="D25" s="8"/>
      <c r="E25" s="8"/>
      <c r="F25" s="8"/>
    </row>
    <row r="26" spans="2:6" ht="18" customHeight="1" x14ac:dyDescent="0.35">
      <c r="B26" s="68" t="s">
        <v>30</v>
      </c>
      <c r="C26" s="68"/>
      <c r="D26" s="68"/>
      <c r="E26" s="68"/>
      <c r="F26" s="68"/>
    </row>
    <row r="27" spans="2:6" ht="18" customHeight="1" x14ac:dyDescent="0.35">
      <c r="B27" s="65" t="s">
        <v>31</v>
      </c>
      <c r="C27" s="65"/>
      <c r="D27" s="65"/>
      <c r="E27" s="65"/>
      <c r="F27" s="65"/>
    </row>
    <row r="28" spans="2:6" ht="18" customHeight="1" x14ac:dyDescent="0.35">
      <c r="B28" s="65" t="s">
        <v>32</v>
      </c>
      <c r="C28" s="65"/>
      <c r="D28" s="65"/>
      <c r="E28" s="65"/>
      <c r="F28" s="65"/>
    </row>
    <row r="29" spans="2:6" ht="18" customHeight="1" x14ac:dyDescent="0.35">
      <c r="B29" s="65" t="s">
        <v>33</v>
      </c>
      <c r="C29" s="65"/>
      <c r="D29" s="65"/>
      <c r="E29" s="65"/>
      <c r="F29" s="65"/>
    </row>
    <row r="30" spans="2:6" ht="18" customHeight="1" x14ac:dyDescent="0.35">
      <c r="B30" s="65" t="s">
        <v>34</v>
      </c>
      <c r="C30" s="65"/>
      <c r="D30" s="65"/>
      <c r="E30" s="65"/>
      <c r="F30" s="65"/>
    </row>
    <row r="31" spans="2:6" ht="18" customHeight="1" x14ac:dyDescent="0.35">
      <c r="B31" s="65" t="s">
        <v>35</v>
      </c>
      <c r="C31" s="65"/>
      <c r="D31" s="65"/>
      <c r="E31" s="65"/>
      <c r="F31" s="65"/>
    </row>
  </sheetData>
  <mergeCells count="19">
    <mergeCell ref="B29:F29"/>
    <mergeCell ref="B30:F30"/>
    <mergeCell ref="B31:F31"/>
    <mergeCell ref="B18:F18"/>
    <mergeCell ref="B24:F24"/>
    <mergeCell ref="B26:F26"/>
    <mergeCell ref="B27:F27"/>
    <mergeCell ref="B28:F28"/>
    <mergeCell ref="B9:C9"/>
    <mergeCell ref="D9:F9"/>
    <mergeCell ref="B12:C12"/>
    <mergeCell ref="D12:F12"/>
    <mergeCell ref="B15:C15"/>
    <mergeCell ref="D15:F15"/>
    <mergeCell ref="B2:F2"/>
    <mergeCell ref="B3:F3"/>
    <mergeCell ref="B5:F5"/>
    <mergeCell ref="B7:C7"/>
    <mergeCell ref="D7:F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/>
  <dimension ref="A1:P3"/>
  <sheetViews>
    <sheetView tabSelected="1" zoomScaleNormal="100" zoomScaleSheetLayoutView="85" workbookViewId="0">
      <pane xSplit="5" ySplit="1" topLeftCell="F64" activePane="bottomRight" state="frozen"/>
      <selection pane="topRight" activeCell="F1" sqref="F1"/>
      <selection pane="bottomLeft" activeCell="A2" sqref="A2"/>
      <selection pane="bottomRight" activeCell="O300" sqref="O300"/>
    </sheetView>
  </sheetViews>
  <sheetFormatPr baseColWidth="10" defaultColWidth="8.6328125" defaultRowHeight="14.5" x14ac:dyDescent="0.35"/>
  <cols>
    <col min="1" max="1" width="15" style="2" customWidth="1"/>
    <col min="2" max="2" width="65.36328125" style="2" customWidth="1"/>
    <col min="3" max="3" width="8" style="2" customWidth="1"/>
    <col min="4" max="4" width="30" style="2" customWidth="1"/>
    <col min="5" max="5" width="15" style="2" customWidth="1"/>
    <col min="6" max="12" width="12" style="26" hidden="1" customWidth="1"/>
    <col min="13" max="13" width="12" hidden="1" customWidth="1"/>
    <col min="14" max="15" width="12" customWidth="1"/>
    <col min="16" max="16" width="10.6328125" customWidth="1"/>
  </cols>
  <sheetData>
    <row r="1" spans="1:16" ht="24" customHeight="1" x14ac:dyDescent="0.3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38</v>
      </c>
      <c r="M1" s="3" t="s">
        <v>39</v>
      </c>
      <c r="N1" s="3" t="s">
        <v>45</v>
      </c>
      <c r="O1" s="3" t="s">
        <v>51</v>
      </c>
      <c r="P1" s="33" t="s">
        <v>40</v>
      </c>
    </row>
    <row r="2" spans="1:16" ht="15" customHeight="1">
      <c r="B2" s="2" t="inlineStr">
        <is>
          <t>2024_00001</t>
        </is>
      </c>
      <c r="C2" s="2">
        <v>1001</v>
      </c>
      <c r="D2" s="2" t="inlineStr">
        <is>
          <t>ACME Coating</t>
        </is>
      </c>
      <c r="E2" s="2" t="inlineStr">
        <is>
          <t>Acme Industries</t>
        </is>
      </c>
      <c r="F2" s="26"/>
      <c r="G2" s="26"/>
      <c r="H2" s="26">
        <v>0.25</v>
      </c>
      <c r="I2" s="26">
        <v>0.5</v>
      </c>
      <c r="J2" s="26">
        <v>0.25</v>
      </c>
      <c r="K2" s="26"/>
      <c r="L2" s="26"/>
      <c r="M2" s="26"/>
      <c r="N2" s="77"/>
      <c r="O2" s="26"/>
      <c r="P2" s="34">
        <f>SUM(F2:O2)</f>
      </c>
    </row>
    <row r="3" spans="1:16" ht="15" customHeight="1">
      <c r="B3" s="2" t="inlineStr">
        <is>
          <t>2025_00002</t>
        </is>
      </c>
      <c r="C3" s="2">
        <v>1002</v>
      </c>
      <c r="D3" s="2" t="inlineStr">
        <is>
          <t>Demo Sensor</t>
        </is>
      </c>
      <c r="E3" s="2" t="inlineStr">
        <is>
          <t>Demo Systems SAS</t>
        </is>
      </c>
      <c r="F3" s="26"/>
      <c r="G3" s="26"/>
      <c r="H3" s="26"/>
      <c r="I3" s="26">
        <v>1</v>
      </c>
      <c r="J3" s="26">
        <v>0.75</v>
      </c>
      <c r="K3" s="26"/>
      <c r="L3" s="26"/>
      <c r="M3" s="26"/>
      <c r="N3" s="77"/>
      <c r="O3" s="26"/>
      <c r="P3" s="34">
        <f>SUM(F3:O3)</f>
      </c>
    </row>
  </sheetData>
  <autoFilter ref="A1:O1" xr:uid="{00000000-0001-0000-0100-000000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FBC0-117D-4418-8C5A-290B7A6CCEA8}">
  <sheetPr codeName="Feuil3"/>
  <dimension ref="A1:AC4"/>
  <sheetViews>
    <sheetView zoomScaleNormal="100" workbookViewId="0">
      <selection activeCell="F6" sqref="F6"/>
    </sheetView>
  </sheetViews>
  <sheetFormatPr baseColWidth="10" defaultRowHeight="14.5" x14ac:dyDescent="0.35"/>
  <cols>
    <col min="1" max="1" width="15.453125" bestFit="1" customWidth="1"/>
    <col min="2" max="2" width="65.08984375" customWidth="1"/>
    <col min="3" max="3" width="22.7265625" customWidth="1"/>
    <col min="4" max="4" width="35.6328125" customWidth="1"/>
    <col min="5" max="5" width="18.6328125" customWidth="1"/>
    <col min="6" max="6" width="10.6328125" customWidth="1"/>
    <col min="7" max="29" width="7.6328125" customWidth="1"/>
    <col min="95" max="95" width="0" hidden="1" customWidth="1"/>
    <col min="100" max="100" width="0" hidden="1" customWidth="1"/>
  </cols>
  <sheetData>
    <row r="1" spans="1:200" ht="30" customHeight="1" x14ac:dyDescent="0.35">
      <c r="A1" s="20" t="s">
        <v>3</v>
      </c>
      <c r="B1" s="19" t="inlineStr">
        <is>
          <t>2026-01</t>
        </is>
      </c>
      <c r="D1" s="20" t="s">
        <v>20</v>
      </c>
      <c r="E1" s="24" t="inlineStr">
        <is>
          <t>n/a</t>
        </is>
      </c>
    </row>
    <row r="2" spans="1:200" ht="24" customHeight="1" x14ac:dyDescent="0.35">
      <c r="A2" s="21" t="s">
        <v>37</v>
      </c>
      <c r="B2" s="21" t="s">
        <v>10</v>
      </c>
      <c r="C2" s="21" t="s">
        <v>11</v>
      </c>
      <c r="D2" s="21" t="s">
        <v>21</v>
      </c>
      <c r="E2" s="21" t="s">
        <v>13</v>
      </c>
      <c r="F2" s="21" t="s">
        <v>22</v>
      </c>
      <c r="G2" s="18" t="s">
        <v>53</v>
      </c>
      <c r="H2" s="18" t="s">
        <v>54</v>
      </c>
      <c r="I2" s="18" t="s">
        <v>55</v>
      </c>
      <c r="J2" s="18" t="s">
        <v>56</v>
      </c>
      <c r="K2" s="18" t="s">
        <v>57</v>
      </c>
      <c r="L2" s="18" t="s">
        <v>58</v>
      </c>
      <c r="M2" s="18" t="s">
        <v>59</v>
      </c>
      <c r="N2" s="18" t="s">
        <v>60</v>
      </c>
      <c r="O2" s="18" t="s">
        <v>61</v>
      </c>
      <c r="P2" s="18" t="s">
        <v>62</v>
      </c>
      <c r="Q2" s="18" t="s">
        <v>63</v>
      </c>
      <c r="R2" s="18" t="s">
        <v>64</v>
      </c>
      <c r="S2" s="18" t="s">
        <v>65</v>
      </c>
      <c r="T2" s="18" t="s">
        <v>66</v>
      </c>
      <c r="U2" s="18" t="s">
        <v>67</v>
      </c>
      <c r="V2" s="18" t="s">
        <v>68</v>
      </c>
      <c r="W2" s="18" t="s">
        <v>69</v>
      </c>
      <c r="X2" s="18" t="s">
        <v>70</v>
      </c>
      <c r="Y2" s="18" t="s">
        <v>71</v>
      </c>
      <c r="Z2" s="18" t="s">
        <v>72</v>
      </c>
      <c r="AA2" s="18" t="s">
        <v>73</v>
      </c>
      <c r="AB2" s="18" t="s">
        <v>74</v>
      </c>
      <c r="AC2" s="18" t="s">
        <v>75</v>
      </c>
    </row>
    <row r="3" spans="1:200">
      <c r="A3" s="70"/>
      <c r="B3" s="70" t="inlineStr">
        <is>
          <t>2024_00001</t>
        </is>
      </c>
      <c r="C3" s="70">
        <v>1001</v>
      </c>
      <c r="D3" s="70"/>
      <c r="E3" s="70" t="inlineStr">
        <is>
          <t>Acme Industries</t>
        </is>
      </c>
      <c r="F3" s="71">
        <f>SUM(G3:AC3)</f>
      </c>
      <c r="G3" s="71"/>
      <c r="H3" s="71">
        <v>1</v>
      </c>
      <c r="I3" s="71"/>
      <c r="J3" s="71"/>
      <c r="K3" s="71">
        <v>1.5</v>
      </c>
      <c r="L3" s="71">
        <v>2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</row>
    <row r="4" spans="1:200">
      <c r="A4" s="70"/>
      <c r="B4" s="70" t="inlineStr">
        <is>
          <t>2025_00002</t>
        </is>
      </c>
      <c r="C4" s="70">
        <v>1002</v>
      </c>
      <c r="D4" s="70"/>
      <c r="E4" s="70" t="inlineStr">
        <is>
          <t>Demo Systems SAS</t>
        </is>
      </c>
      <c r="F4" s="71">
        <f>SUM(G4:AC4)</f>
      </c>
      <c r="G4" s="71">
        <v>0.5</v>
      </c>
      <c r="H4" s="71"/>
      <c r="I4" s="71"/>
      <c r="J4" s="71"/>
      <c r="K4" s="71"/>
      <c r="L4" s="71"/>
      <c r="M4" s="71"/>
      <c r="N4" s="71"/>
      <c r="O4" s="71">
        <v>1</v>
      </c>
      <c r="P4" s="71"/>
      <c r="Q4" s="71"/>
      <c r="R4" s="71"/>
      <c r="S4" s="71">
        <v>2</v>
      </c>
      <c r="T4" s="71"/>
      <c r="U4" s="71"/>
      <c r="V4" s="71"/>
      <c r="W4" s="71"/>
      <c r="X4" s="71"/>
      <c r="Y4" s="71"/>
      <c r="Z4" s="71"/>
      <c r="AA4" s="71"/>
      <c r="AB4" s="71"/>
      <c r="AC4" s="71"/>
    </row>
  </sheetData>
  <autoFilter ref="A2:AA31" xr:uid="{E6D3FBC0-117D-4418-8C5A-290B7A6CCEA8}">
    <sortState xmlns:xlrd2="http://schemas.microsoft.com/office/spreadsheetml/2017/richdata2" ref="A3:AA46">
      <sortCondition descending="1" ref="F2:F31"/>
    </sortState>
  </autoFilter>
  <dataValidations count="1">
    <dataValidation type="list" allowBlank="1" showInputMessage="1" showErrorMessage="1" sqref="D50" xr:uid="{38A5150B-F565-4E67-80C7-01BD6130B25A}">
      <formula1>ListeDossiers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8"/>
  <dimension ref="A1:A23"/>
  <sheetViews>
    <sheetView zoomScaleNormal="100" workbookViewId="0"/>
  </sheetViews>
  <sheetFormatPr baseColWidth="10" defaultColWidth="8.6328125" defaultRowHeight="14.5" x14ac:dyDescent="0.35"/>
  <sheetData>
    <row r="1" spans="1:1" ht="15" customHeight="1" x14ac:dyDescent="0.35">
      <c r="A1" s="1" t="s">
        <v>23</v>
      </c>
    </row>
    <row r="2" spans="1:1" ht="15" customHeight="1" x14ac:dyDescent="0.35">
      <c r="A2">
        <v>0.25</v>
      </c>
    </row>
    <row r="3" spans="1:1" ht="15" customHeight="1" x14ac:dyDescent="0.35">
      <c r="A3">
        <v>0.5</v>
      </c>
    </row>
    <row r="4" spans="1:1" ht="15" customHeight="1" x14ac:dyDescent="0.35">
      <c r="A4">
        <v>0.75</v>
      </c>
    </row>
    <row r="5" spans="1:1" ht="15" customHeight="1" x14ac:dyDescent="0.35">
      <c r="A5">
        <v>1</v>
      </c>
    </row>
    <row r="6" spans="1:1" ht="15" customHeight="1" x14ac:dyDescent="0.35">
      <c r="A6">
        <v>1.5</v>
      </c>
    </row>
    <row r="7" spans="1:1" ht="15" customHeight="1" x14ac:dyDescent="0.35">
      <c r="A7">
        <v>2</v>
      </c>
    </row>
    <row r="8" spans="1:1" ht="15" customHeight="1" x14ac:dyDescent="0.35">
      <c r="A8">
        <v>2.5</v>
      </c>
    </row>
    <row r="9" spans="1:1" ht="15" customHeight="1" x14ac:dyDescent="0.35">
      <c r="A9">
        <v>3</v>
      </c>
    </row>
    <row r="10" spans="1:1" ht="15" customHeight="1" x14ac:dyDescent="0.35">
      <c r="A10">
        <v>3.5</v>
      </c>
    </row>
    <row r="11" spans="1:1" ht="15" customHeight="1" x14ac:dyDescent="0.35">
      <c r="A11">
        <v>4</v>
      </c>
    </row>
    <row r="12" spans="1:1" ht="15" customHeight="1" x14ac:dyDescent="0.35">
      <c r="A12">
        <v>4.5</v>
      </c>
    </row>
    <row r="13" spans="1:1" ht="15" customHeight="1" x14ac:dyDescent="0.35">
      <c r="A13">
        <v>5</v>
      </c>
    </row>
    <row r="14" spans="1:1" ht="15" customHeight="1" x14ac:dyDescent="0.35">
      <c r="A14">
        <v>5.5</v>
      </c>
    </row>
    <row r="15" spans="1:1" ht="15" customHeight="1" x14ac:dyDescent="0.35">
      <c r="A15">
        <v>6</v>
      </c>
    </row>
    <row r="16" spans="1:1" ht="15" customHeight="1" x14ac:dyDescent="0.35">
      <c r="A16">
        <v>6.5</v>
      </c>
    </row>
    <row r="17" spans="1:1" ht="15" customHeight="1" x14ac:dyDescent="0.35">
      <c r="A17">
        <v>7</v>
      </c>
    </row>
    <row r="18" spans="1:1" ht="15" customHeight="1" x14ac:dyDescent="0.35">
      <c r="A18">
        <v>7.5</v>
      </c>
    </row>
    <row r="19" spans="1:1" ht="15" customHeight="1" x14ac:dyDescent="0.35">
      <c r="A19">
        <v>8</v>
      </c>
    </row>
    <row r="20" spans="1:1" ht="15" customHeight="1" x14ac:dyDescent="0.35">
      <c r="A20">
        <v>10</v>
      </c>
    </row>
    <row r="21" spans="1:1" ht="15" customHeight="1" x14ac:dyDescent="0.35">
      <c r="A21">
        <v>12</v>
      </c>
    </row>
    <row r="22" spans="1:1" ht="15" customHeight="1" x14ac:dyDescent="0.35">
      <c r="A22">
        <v>14</v>
      </c>
    </row>
    <row r="23" spans="1:1" ht="15" customHeight="1" x14ac:dyDescent="0.35">
      <c r="A23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1D10-5427-451F-B678-59B869746B88}">
  <sheetPr codeName="Feuil1"/>
  <dimension ref="A1:J62"/>
  <sheetViews>
    <sheetView zoomScale="80" zoomScaleNormal="80" workbookViewId="0">
      <selection activeCell="M30" sqref="M30"/>
    </sheetView>
  </sheetViews>
  <sheetFormatPr baseColWidth="10" defaultRowHeight="14.5" outlineLevelRow="1" x14ac:dyDescent="0.35"/>
  <cols>
    <col min="1" max="1" width="41.81640625" customWidth="1"/>
    <col min="2" max="9" width="12.7265625" customWidth="1"/>
  </cols>
  <sheetData>
    <row r="1" spans="1:10" ht="21" x14ac:dyDescent="0.5">
      <c r="A1" s="37" t="s">
        <v>41</v>
      </c>
    </row>
    <row r="3" spans="1:10" x14ac:dyDescent="0.35">
      <c r="A3" s="38" t="s">
        <v>42</v>
      </c>
      <c r="B3" s="39" t="str">
        <f>'Temps par mois'!F1</f>
        <v>nov. 2025</v>
      </c>
      <c r="C3" s="39" t="str">
        <f>'Temps par mois'!G1</f>
        <v>déc. 2025</v>
      </c>
      <c r="D3" s="39" t="str">
        <f>'Temps par mois'!H1</f>
        <v>janv. 2026</v>
      </c>
      <c r="E3" s="39" t="str">
        <f>'Temps par mois'!I1</f>
        <v>févr. 2026</v>
      </c>
      <c r="F3" s="39" t="str">
        <f>'Temps par mois'!J1</f>
        <v>mars 2026</v>
      </c>
      <c r="G3" s="39" t="str">
        <f>'Temps par mois'!K1</f>
        <v>avr. 2026</v>
      </c>
      <c r="H3" s="39" t="str">
        <f>'Temps par mois'!L1</f>
        <v>mai 2026</v>
      </c>
      <c r="I3" s="39" t="str">
        <f>'Temps par mois'!M1</f>
        <v>juin 2026</v>
      </c>
      <c r="J3" s="39" t="str">
        <f>'Temps par mois'!N1</f>
        <v>juil. 2026</v>
      </c>
    </row>
    <row r="4" spans="1:10" x14ac:dyDescent="0.35">
      <c r="A4" s="41">
        <f>'Temps par mois'!A301</f>
        <v>0</v>
      </c>
      <c r="B4" s="42">
        <f>'Temps par mois'!F301</f>
        <v>0</v>
      </c>
      <c r="C4" s="42">
        <f>'Temps par mois'!G301</f>
        <v>0</v>
      </c>
      <c r="D4" s="42">
        <f>'Temps par mois'!H301</f>
        <v>0</v>
      </c>
      <c r="E4" s="42">
        <f>'Temps par mois'!I301</f>
        <v>0</v>
      </c>
      <c r="F4" s="42">
        <f>'Temps par mois'!J301</f>
        <v>0</v>
      </c>
      <c r="G4" s="42">
        <f>'Temps par mois'!K301</f>
        <v>0</v>
      </c>
      <c r="H4" s="42">
        <f>'Temps par mois'!L301</f>
        <v>0</v>
      </c>
      <c r="I4" s="42">
        <f>'Temps par mois'!M301</f>
        <v>0</v>
      </c>
      <c r="J4" s="42">
        <f>'Temps par mois'!N301</f>
        <v>0</v>
      </c>
    </row>
    <row r="5" spans="1:10" x14ac:dyDescent="0.35">
      <c r="A5" s="41" t="str">
        <f>'Temps par mois'!A302</f>
        <v>Temps total</v>
      </c>
      <c r="B5" s="43">
        <f>'Temps par mois'!F302</f>
        <v>59.25</v>
      </c>
      <c r="C5" s="43">
        <f>'Temps par mois'!G302</f>
        <v>69</v>
      </c>
      <c r="D5" s="43">
        <f>'Temps par mois'!H302</f>
        <v>120</v>
      </c>
      <c r="E5" s="43">
        <f>'Temps par mois'!I302</f>
        <v>120</v>
      </c>
      <c r="F5" s="43">
        <f>'Temps par mois'!J302</f>
        <v>120</v>
      </c>
      <c r="G5" s="43">
        <f>'Temps par mois'!K302</f>
        <v>182.5</v>
      </c>
      <c r="H5" s="43">
        <f>'Temps par mois'!L302</f>
        <v>110.5</v>
      </c>
      <c r="I5" s="43">
        <f>'Temps par mois'!M302</f>
        <v>167.5</v>
      </c>
      <c r="J5" s="43">
        <f>'Temps par mois'!N302</f>
        <v>136</v>
      </c>
    </row>
    <row r="6" spans="1:10" x14ac:dyDescent="0.35">
      <c r="A6" s="40" t="str">
        <f>TRIM('Temps par mois'!A303)</f>
        <v>Nombre de dossiers</v>
      </c>
      <c r="B6" s="42">
        <f>'Temps par mois'!F303</f>
        <v>17</v>
      </c>
      <c r="C6" s="42">
        <f>'Temps par mois'!G303</f>
        <v>24</v>
      </c>
      <c r="D6" s="42">
        <f>'Temps par mois'!H303</f>
        <v>52</v>
      </c>
      <c r="E6" s="42">
        <f>'Temps par mois'!I303</f>
        <v>52</v>
      </c>
      <c r="F6" s="42">
        <f>'Temps par mois'!J303</f>
        <v>52</v>
      </c>
      <c r="G6" s="42">
        <f>'Temps par mois'!K303</f>
        <v>44</v>
      </c>
      <c r="H6" s="42">
        <f>'Temps par mois'!L303</f>
        <v>31</v>
      </c>
      <c r="I6" s="42">
        <f>'Temps par mois'!M303</f>
        <v>42</v>
      </c>
      <c r="J6" s="42">
        <f>'Temps par mois'!N303</f>
        <v>44</v>
      </c>
    </row>
    <row r="7" spans="1:10" x14ac:dyDescent="0.35">
      <c r="A7" s="40" t="str">
        <f>TRIM('Temps par mois'!A304)</f>
        <v>Opérations commerciales et support</v>
      </c>
      <c r="B7" s="42">
        <f>'Temps par mois'!F304</f>
        <v>9</v>
      </c>
      <c r="C7" s="42">
        <f>'Temps par mois'!G304</f>
        <v>9.5</v>
      </c>
      <c r="D7" s="42">
        <f>'Temps par mois'!H304</f>
        <v>19.75</v>
      </c>
      <c r="E7" s="42">
        <f>'Temps par mois'!I304</f>
        <v>19.75</v>
      </c>
      <c r="F7" s="42">
        <f>'Temps par mois'!J304</f>
        <v>19.75</v>
      </c>
      <c r="G7" s="42">
        <f>'Temps par mois'!K304</f>
        <v>27</v>
      </c>
      <c r="H7" s="42">
        <f>'Temps par mois'!L304</f>
        <v>11</v>
      </c>
      <c r="I7" s="42">
        <f>'Temps par mois'!M304</f>
        <v>46</v>
      </c>
      <c r="J7" s="42">
        <f>'Temps par mois'!N304</f>
        <v>72.5</v>
      </c>
    </row>
    <row r="8" spans="1:10" x14ac:dyDescent="0.35">
      <c r="A8" s="40" t="str">
        <f>TRIM('Temps par mois'!A305)</f>
        <v>Opportunité CRM</v>
      </c>
      <c r="B8" s="42">
        <f>'Temps par mois'!F305</f>
        <v>33.5</v>
      </c>
      <c r="C8" s="42">
        <f>'Temps par mois'!G305</f>
        <v>32</v>
      </c>
      <c r="D8" s="42">
        <f>'Temps par mois'!H305</f>
        <v>21.25</v>
      </c>
      <c r="E8" s="42">
        <f>'Temps par mois'!I305</f>
        <v>21.25</v>
      </c>
      <c r="F8" s="42">
        <f>'Temps par mois'!J305</f>
        <v>21.25</v>
      </c>
      <c r="G8" s="42">
        <f>'Temps par mois'!K305</f>
        <v>55.5</v>
      </c>
      <c r="H8" s="42">
        <f>'Temps par mois'!L305</f>
        <v>29</v>
      </c>
      <c r="I8" s="42">
        <f>'Temps par mois'!M305</f>
        <v>29.5</v>
      </c>
      <c r="J8" s="42">
        <f>'Temps par mois'!N305</f>
        <v>21</v>
      </c>
    </row>
    <row r="9" spans="1:10" x14ac:dyDescent="0.35">
      <c r="A9" s="40" t="str">
        <f>TRIM('Temps par mois'!A306)</f>
        <v>Contrat sans DV</v>
      </c>
      <c r="B9" s="42">
        <f>'Temps par mois'!F306</f>
        <v>2</v>
      </c>
      <c r="C9" s="42">
        <f>'Temps par mois'!G306</f>
        <v>7</v>
      </c>
      <c r="D9" s="42">
        <f>'Temps par mois'!H306</f>
        <v>6.25</v>
      </c>
      <c r="E9" s="42">
        <f>'Temps par mois'!I306</f>
        <v>6.25</v>
      </c>
      <c r="F9" s="42">
        <f>'Temps par mois'!J306</f>
        <v>6.25</v>
      </c>
      <c r="G9" s="42">
        <f>'Temps par mois'!K306</f>
        <v>2.5</v>
      </c>
      <c r="H9" s="42">
        <f>'Temps par mois'!L306</f>
        <v>1</v>
      </c>
      <c r="I9" s="42">
        <f>'Temps par mois'!M306</f>
        <v>4</v>
      </c>
      <c r="J9" s="42">
        <f>'Temps par mois'!N306</f>
        <v>0</v>
      </c>
    </row>
    <row r="10" spans="1:10" x14ac:dyDescent="0.35">
      <c r="A10" s="40" t="str">
        <f>TRIM('Temps par mois'!A307)</f>
        <v>dont programme X</v>
      </c>
      <c r="B10" s="42">
        <f>'Temps par mois'!F307</f>
        <v>14.75</v>
      </c>
      <c r="C10" s="42">
        <f>'Temps par mois'!G307</f>
        <v>16.5</v>
      </c>
      <c r="D10" s="42">
        <f>'Temps par mois'!H307</f>
        <v>26.25</v>
      </c>
      <c r="E10" s="42">
        <f>'Temps par mois'!I307</f>
        <v>26.25</v>
      </c>
      <c r="F10" s="42">
        <f>'Temps par mois'!J307</f>
        <v>26.25</v>
      </c>
      <c r="G10" s="42">
        <f>'Temps par mois'!K307</f>
        <v>26.5</v>
      </c>
      <c r="H10" s="42">
        <f>'Temps par mois'!L307</f>
        <v>25</v>
      </c>
      <c r="I10" s="42">
        <f>'Temps par mois'!M307</f>
        <v>11</v>
      </c>
      <c r="J10" s="42">
        <f>'Temps par mois'!N307</f>
        <v>9</v>
      </c>
    </row>
    <row r="11" spans="1:10" x14ac:dyDescent="0.35">
      <c r="A11" s="40" t="str">
        <f>TRIM('Temps par mois'!A308)</f>
        <v>Autres tâches</v>
      </c>
      <c r="B11" s="42">
        <f>'Temps par mois'!F308</f>
        <v>0</v>
      </c>
      <c r="C11" s="42">
        <f>'Temps par mois'!G308</f>
        <v>4</v>
      </c>
      <c r="D11" s="42">
        <f>'Temps par mois'!H308</f>
        <v>43.25</v>
      </c>
      <c r="E11" s="42">
        <f>'Temps par mois'!I308</f>
        <v>43.25</v>
      </c>
      <c r="F11" s="42">
        <f>'Temps par mois'!J308</f>
        <v>43.25</v>
      </c>
      <c r="G11" s="42">
        <f>'Temps par mois'!K308</f>
        <v>40.5</v>
      </c>
      <c r="H11" s="42">
        <f>'Temps par mois'!L308</f>
        <v>23</v>
      </c>
      <c r="I11" s="42">
        <f>'Temps par mois'!M308</f>
        <v>46</v>
      </c>
      <c r="J11" s="42">
        <f>'Temps par mois'!N308</f>
        <v>24</v>
      </c>
    </row>
    <row r="12" spans="1:10" x14ac:dyDescent="0.35">
      <c r="A12" s="40" t="str">
        <f>TRIM('Temps par mois'!A309)</f>
        <v>Temps non affecté</v>
      </c>
      <c r="B12" s="42">
        <f>'Temps par mois'!F309</f>
        <v>0</v>
      </c>
      <c r="C12" s="42">
        <f>'Temps par mois'!G309</f>
        <v>0</v>
      </c>
      <c r="D12" s="42">
        <f>'Temps par mois'!H309</f>
        <v>0</v>
      </c>
      <c r="E12" s="42">
        <f>'Temps par mois'!I309</f>
        <v>0</v>
      </c>
      <c r="F12" s="42">
        <f>'Temps par mois'!J309</f>
        <v>0</v>
      </c>
      <c r="G12" s="42">
        <f>'Temps par mois'!K309</f>
        <v>29.5</v>
      </c>
      <c r="H12" s="42">
        <f>'Temps par mois'!L309</f>
        <v>8</v>
      </c>
      <c r="I12" s="42">
        <f>'Temps par mois'!M309</f>
        <v>21.5</v>
      </c>
      <c r="J12" s="42">
        <f>'Temps par mois'!N309</f>
        <v>4.5</v>
      </c>
    </row>
    <row r="13" spans="1:10" x14ac:dyDescent="0.35">
      <c r="A13" s="44" t="s">
        <v>47</v>
      </c>
      <c r="B13" s="52">
        <f>DATE(2025,11,1)</f>
        <v>45962</v>
      </c>
      <c r="C13" s="53">
        <f>EDATE(B13,1)</f>
        <v>45992</v>
      </c>
      <c r="D13" s="53">
        <f t="shared" ref="D13:J13" si="0">EDATE(C13,1)</f>
        <v>46023</v>
      </c>
      <c r="E13" s="53">
        <f t="shared" si="0"/>
        <v>46054</v>
      </c>
      <c r="F13" s="53">
        <f t="shared" si="0"/>
        <v>46082</v>
      </c>
      <c r="G13" s="53">
        <f t="shared" si="0"/>
        <v>46113</v>
      </c>
      <c r="H13" s="53">
        <f t="shared" si="0"/>
        <v>46143</v>
      </c>
      <c r="I13" s="53">
        <f t="shared" si="0"/>
        <v>46174</v>
      </c>
      <c r="J13" s="53">
        <f t="shared" si="0"/>
        <v>46204</v>
      </c>
    </row>
    <row r="14" spans="1:10" x14ac:dyDescent="0.35">
      <c r="A14" s="40" t="s">
        <v>48</v>
      </c>
      <c r="B14" s="42">
        <f>B4/(DAY(EOMONTH(B13,0))/7)</f>
        <v>0</v>
      </c>
      <c r="C14" s="42">
        <f t="shared" ref="C14:J14" si="1">C4/(DAY(EOMONTH(C13,0))/7)</f>
        <v>0</v>
      </c>
      <c r="D14" s="42">
        <f t="shared" si="1"/>
        <v>0</v>
      </c>
      <c r="E14" s="42">
        <f t="shared" si="1"/>
        <v>0</v>
      </c>
      <c r="F14" s="42">
        <f t="shared" si="1"/>
        <v>0</v>
      </c>
      <c r="G14" s="42">
        <f t="shared" si="1"/>
        <v>0</v>
      </c>
      <c r="H14" s="42">
        <f t="shared" si="1"/>
        <v>0</v>
      </c>
      <c r="I14" s="42">
        <f t="shared" si="1"/>
        <v>0</v>
      </c>
      <c r="J14" s="42">
        <f t="shared" si="1"/>
        <v>0</v>
      </c>
    </row>
    <row r="15" spans="1:10" ht="15.5" x14ac:dyDescent="0.35">
      <c r="A15" s="45" t="s">
        <v>49</v>
      </c>
    </row>
    <row r="16" spans="1:10" x14ac:dyDescent="0.35">
      <c r="A16" s="38" t="s">
        <v>44</v>
      </c>
      <c r="B16" s="39" t="s">
        <v>50</v>
      </c>
    </row>
    <row r="17" spans="1:2" x14ac:dyDescent="0.35">
      <c r="A17" t="str">
        <f t="shared" ref="A17:A23" si="2">A6</f>
        <v>Nombre de dossiers</v>
      </c>
      <c r="B17" s="42">
        <f t="shared" ref="B17:B23" si="3">SUM($D6:$J6)</f>
        <v>317</v>
      </c>
    </row>
    <row r="18" spans="1:2" x14ac:dyDescent="0.35">
      <c r="A18" t="str">
        <f t="shared" si="2"/>
        <v>Opérations commerciales et support</v>
      </c>
      <c r="B18" s="42">
        <f t="shared" si="3"/>
        <v>215.75</v>
      </c>
    </row>
    <row r="19" spans="1:2" x14ac:dyDescent="0.35">
      <c r="A19" t="str">
        <f t="shared" si="2"/>
        <v>Opportunité CRM</v>
      </c>
      <c r="B19" s="42">
        <f t="shared" si="3"/>
        <v>198.75</v>
      </c>
    </row>
    <row r="20" spans="1:2" x14ac:dyDescent="0.35">
      <c r="A20" t="str">
        <f t="shared" si="2"/>
        <v>Contrat sans DV</v>
      </c>
      <c r="B20" s="42">
        <f t="shared" si="3"/>
        <v>26.25</v>
      </c>
    </row>
    <row r="21" spans="1:2" x14ac:dyDescent="0.35">
      <c r="A21" t="str">
        <f t="shared" si="2"/>
        <v>dont programme X</v>
      </c>
      <c r="B21" s="42">
        <f t="shared" si="3"/>
        <v>150.25</v>
      </c>
    </row>
    <row r="22" spans="1:2" x14ac:dyDescent="0.35">
      <c r="A22" t="str">
        <f t="shared" si="2"/>
        <v>Autres tâches</v>
      </c>
      <c r="B22" s="42">
        <f t="shared" si="3"/>
        <v>263.25</v>
      </c>
    </row>
    <row r="23" spans="1:2" x14ac:dyDescent="0.35">
      <c r="A23" t="str">
        <f t="shared" si="2"/>
        <v>Temps non affecté</v>
      </c>
      <c r="B23" s="42">
        <f t="shared" si="3"/>
        <v>63.5</v>
      </c>
    </row>
    <row r="54" spans="1:10" outlineLevel="1" x14ac:dyDescent="0.35">
      <c r="A54" s="44" t="s">
        <v>43</v>
      </c>
    </row>
    <row r="55" spans="1:10" outlineLevel="1" x14ac:dyDescent="0.35">
      <c r="B55" t="str">
        <f t="shared" ref="B55:I55" si="4">B3</f>
        <v>nov. 2025</v>
      </c>
      <c r="C55" t="str">
        <f t="shared" si="4"/>
        <v>déc. 2025</v>
      </c>
      <c r="D55" t="str">
        <f t="shared" si="4"/>
        <v>janv. 2026</v>
      </c>
      <c r="E55" t="str">
        <f t="shared" si="4"/>
        <v>févr. 2026</v>
      </c>
      <c r="F55" t="str">
        <f t="shared" si="4"/>
        <v>mars 2026</v>
      </c>
      <c r="G55" t="str">
        <f t="shared" si="4"/>
        <v>avr. 2026</v>
      </c>
      <c r="H55" t="str">
        <f t="shared" si="4"/>
        <v>mai 2026</v>
      </c>
      <c r="I55" t="str">
        <f t="shared" si="4"/>
        <v>juin 2026</v>
      </c>
      <c r="J55" t="str">
        <f>J3</f>
        <v>juil. 2026</v>
      </c>
    </row>
    <row r="56" spans="1:10" outlineLevel="1" x14ac:dyDescent="0.35">
      <c r="A56" t="str">
        <f>A6</f>
        <v>Nombre de dossiers</v>
      </c>
      <c r="B56">
        <f>B6</f>
        <v>17</v>
      </c>
      <c r="C56">
        <f t="shared" ref="C56:I56" si="5">C6</f>
        <v>24</v>
      </c>
      <c r="D56">
        <f t="shared" si="5"/>
        <v>52</v>
      </c>
      <c r="E56">
        <f t="shared" si="5"/>
        <v>52</v>
      </c>
      <c r="F56">
        <f t="shared" si="5"/>
        <v>52</v>
      </c>
      <c r="G56">
        <f t="shared" si="5"/>
        <v>44</v>
      </c>
      <c r="H56">
        <f t="shared" si="5"/>
        <v>31</v>
      </c>
      <c r="I56">
        <f t="shared" si="5"/>
        <v>42</v>
      </c>
      <c r="J56">
        <f t="shared" ref="J56:J62" si="6">J6</f>
        <v>44</v>
      </c>
    </row>
    <row r="57" spans="1:10" outlineLevel="1" x14ac:dyDescent="0.35">
      <c r="A57" t="str">
        <f t="shared" ref="A57:A62" si="7">A7</f>
        <v>Opérations commerciales et support</v>
      </c>
      <c r="B57">
        <f t="shared" ref="B57:I57" si="8">B7</f>
        <v>9</v>
      </c>
      <c r="C57">
        <f t="shared" si="8"/>
        <v>9.5</v>
      </c>
      <c r="D57">
        <f t="shared" si="8"/>
        <v>19.75</v>
      </c>
      <c r="E57">
        <f t="shared" si="8"/>
        <v>19.75</v>
      </c>
      <c r="F57">
        <f t="shared" si="8"/>
        <v>19.75</v>
      </c>
      <c r="G57">
        <f t="shared" si="8"/>
        <v>27</v>
      </c>
      <c r="H57">
        <f t="shared" si="8"/>
        <v>11</v>
      </c>
      <c r="I57">
        <f t="shared" si="8"/>
        <v>46</v>
      </c>
      <c r="J57">
        <f t="shared" si="6"/>
        <v>72.5</v>
      </c>
    </row>
    <row r="58" spans="1:10" outlineLevel="1" x14ac:dyDescent="0.35">
      <c r="A58" t="str">
        <f t="shared" si="7"/>
        <v>Opportunité CRM</v>
      </c>
      <c r="B58">
        <f t="shared" ref="B58:I58" si="9">B8</f>
        <v>33.5</v>
      </c>
      <c r="C58">
        <f t="shared" si="9"/>
        <v>32</v>
      </c>
      <c r="D58">
        <f t="shared" si="9"/>
        <v>21.25</v>
      </c>
      <c r="E58">
        <f t="shared" si="9"/>
        <v>21.25</v>
      </c>
      <c r="F58">
        <f t="shared" si="9"/>
        <v>21.25</v>
      </c>
      <c r="G58">
        <f t="shared" si="9"/>
        <v>55.5</v>
      </c>
      <c r="H58">
        <f t="shared" si="9"/>
        <v>29</v>
      </c>
      <c r="I58">
        <f t="shared" si="9"/>
        <v>29.5</v>
      </c>
      <c r="J58">
        <f t="shared" si="6"/>
        <v>21</v>
      </c>
    </row>
    <row r="59" spans="1:10" outlineLevel="1" x14ac:dyDescent="0.35">
      <c r="A59" t="str">
        <f t="shared" si="7"/>
        <v>Contrat sans DV</v>
      </c>
      <c r="B59">
        <f t="shared" ref="B59:I59" si="10">B9</f>
        <v>2</v>
      </c>
      <c r="C59">
        <f t="shared" si="10"/>
        <v>7</v>
      </c>
      <c r="D59">
        <f t="shared" si="10"/>
        <v>6.25</v>
      </c>
      <c r="E59">
        <f t="shared" si="10"/>
        <v>6.25</v>
      </c>
      <c r="F59">
        <f t="shared" si="10"/>
        <v>6.25</v>
      </c>
      <c r="G59">
        <f t="shared" si="10"/>
        <v>2.5</v>
      </c>
      <c r="H59">
        <f t="shared" si="10"/>
        <v>1</v>
      </c>
      <c r="I59">
        <f t="shared" si="10"/>
        <v>4</v>
      </c>
      <c r="J59">
        <f t="shared" si="6"/>
        <v>0</v>
      </c>
    </row>
    <row r="60" spans="1:10" outlineLevel="1" x14ac:dyDescent="0.35">
      <c r="A60" t="str">
        <f t="shared" si="7"/>
        <v>dont programme X</v>
      </c>
      <c r="B60">
        <f t="shared" ref="B60:I60" si="11">B10</f>
        <v>14.75</v>
      </c>
      <c r="C60">
        <f t="shared" si="11"/>
        <v>16.5</v>
      </c>
      <c r="D60">
        <f t="shared" si="11"/>
        <v>26.25</v>
      </c>
      <c r="E60">
        <f t="shared" si="11"/>
        <v>26.25</v>
      </c>
      <c r="F60">
        <f t="shared" si="11"/>
        <v>26.25</v>
      </c>
      <c r="G60">
        <f t="shared" si="11"/>
        <v>26.5</v>
      </c>
      <c r="H60">
        <f t="shared" si="11"/>
        <v>25</v>
      </c>
      <c r="I60">
        <f t="shared" si="11"/>
        <v>11</v>
      </c>
      <c r="J60">
        <f t="shared" si="6"/>
        <v>9</v>
      </c>
    </row>
    <row r="61" spans="1:10" outlineLevel="1" x14ac:dyDescent="0.35">
      <c r="A61" t="str">
        <f t="shared" si="7"/>
        <v>Autres tâches</v>
      </c>
      <c r="B61">
        <f t="shared" ref="B61:I61" si="12">B11</f>
        <v>0</v>
      </c>
      <c r="C61">
        <f t="shared" si="12"/>
        <v>4</v>
      </c>
      <c r="D61">
        <f t="shared" si="12"/>
        <v>43.25</v>
      </c>
      <c r="E61">
        <f t="shared" si="12"/>
        <v>43.25</v>
      </c>
      <c r="F61">
        <f t="shared" si="12"/>
        <v>43.25</v>
      </c>
      <c r="G61">
        <f t="shared" si="12"/>
        <v>40.5</v>
      </c>
      <c r="H61">
        <f t="shared" si="12"/>
        <v>23</v>
      </c>
      <c r="I61">
        <f t="shared" si="12"/>
        <v>46</v>
      </c>
      <c r="J61">
        <f t="shared" si="6"/>
        <v>24</v>
      </c>
    </row>
    <row r="62" spans="1:10" outlineLevel="1" x14ac:dyDescent="0.35">
      <c r="A62" t="str">
        <f t="shared" si="7"/>
        <v>Temps non affecté</v>
      </c>
      <c r="B62">
        <f t="shared" ref="B62:I62" si="13">B12</f>
        <v>0</v>
      </c>
      <c r="C62">
        <f t="shared" si="13"/>
        <v>0</v>
      </c>
      <c r="D62">
        <f t="shared" si="13"/>
        <v>0</v>
      </c>
      <c r="E62">
        <f t="shared" si="13"/>
        <v>0</v>
      </c>
      <c r="F62">
        <f t="shared" si="13"/>
        <v>0</v>
      </c>
      <c r="G62">
        <f t="shared" si="13"/>
        <v>29.5</v>
      </c>
      <c r="H62">
        <f t="shared" si="13"/>
        <v>8</v>
      </c>
      <c r="I62">
        <f t="shared" si="13"/>
        <v>21.5</v>
      </c>
      <c r="J62">
        <f t="shared" si="6"/>
        <v>4.5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5992-77A0-455B-B5EF-AE6B748B9CB5}">
  <dimension ref="A1:A2"/>
  <sheetViews>
    <sheetView workbookViewId="0"/>
  </sheetViews>
  <sheetFormatPr baseColWidth="10" defaultRowHeight="14.5" x14ac:dyDescent="0.35"/>
  <cols>
    <col min="1" max="1" width="60.6328125" customWidth="1"/>
  </cols>
  <sheetData>
    <row r="1" spans="1:1" x14ac:dyDescent="0.35">
      <c r="A1" t="s">
        <v>46</v>
      </c>
    </row>
    <row r="2" spans="1:1" x14ac:dyDescent="0.35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Tableau de bord</vt:lpstr>
      <vt:lpstr>Temps par mois</vt:lpstr>
      <vt:lpstr>Extraction de temps</vt:lpstr>
      <vt:lpstr>Données</vt:lpstr>
      <vt:lpstr>Graphiques</vt:lpstr>
      <vt:lpstr>_Listes</vt:lpstr>
      <vt:lpstr>DateDebut</vt:lpstr>
      <vt:lpstr>DateFin</vt:lpstr>
      <vt:lpstr>LastArchive</vt:lpstr>
      <vt:lpstr>LastExtract</vt:lpstr>
      <vt:lpstr>ListeDossiers</vt:lpstr>
      <vt:lpstr>MoisSel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ClassicOutlook-Toolkit</dc:creator>
  <dc:description/>
  <cp:lastModifiedBy>ClassicOutlook-Toolkit</cp:lastModifiedBy>
  <cp:revision>0</cp:revision>
  <dcterms:created xsi:type="dcterms:W3CDTF">2026-04-17T11:11:53Z</dcterms:created>
  <dcterms:modified xsi:type="dcterms:W3CDTF">2026-08-27T16:44:24Z</dcterms:modified>
  <dc:language>en-US</dc:language>
</cp:coreProperties>
</file>